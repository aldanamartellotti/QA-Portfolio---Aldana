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H\Desktop\Tester,\230126 caso real tina\"/>
    </mc:Choice>
  </mc:AlternateContent>
  <xr:revisionPtr revIDLastSave="0" documentId="13_ncr:1_{768D5506-E127-4484-A4B3-8D3F1A2E3EE3}" xr6:coauthVersionLast="47" xr6:coauthVersionMax="47" xr10:uidLastSave="{00000000-0000-0000-0000-000000000000}"/>
  <bookViews>
    <workbookView xWindow="-120" yWindow="-120" windowWidth="20730" windowHeight="11160" tabRatio="347" xr2:uid="{9C97F811-E7A3-48B1-8265-8D62DB5ABC97}"/>
  </bookViews>
  <sheets>
    <sheet name="Portada" sheetId="2" r:id="rId1"/>
    <sheet name="Casos de Prueba" sheetId="3" r:id="rId2"/>
    <sheet name="Dashboard" sheetId="4" r:id="rId3"/>
    <sheet name="Análisis de accesibilidad – Con" sheetId="5" r:id="rId4"/>
  </sheets>
  <definedNames>
    <definedName name="_xlnm._FilterDatabase" localSheetId="1" hidden="1">'Casos de Prueba'!$A$2:$L$2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4" l="1"/>
  <c r="B4" i="4"/>
  <c r="B6" i="4"/>
  <c r="B5" i="4"/>
</calcChain>
</file>

<file path=xl/sharedStrings.xml><?xml version="1.0" encoding="utf-8"?>
<sst xmlns="http://schemas.openxmlformats.org/spreadsheetml/2006/main" count="90" uniqueCount="78">
  <si>
    <t>ID</t>
  </si>
  <si>
    <t>Título / Descripción</t>
  </si>
  <si>
    <t>Módulo</t>
  </si>
  <si>
    <t>Prioridad</t>
  </si>
  <si>
    <t>Precondiciones</t>
  </si>
  <si>
    <t>Pasos</t>
  </si>
  <si>
    <t>Datos de Entrada</t>
  </si>
  <si>
    <t>Resultado Esperado</t>
  </si>
  <si>
    <t>Resultado Obtenido</t>
  </si>
  <si>
    <t>Estado</t>
  </si>
  <si>
    <t>Observaciones</t>
  </si>
  <si>
    <t>Resumen de Casos de Prueba</t>
  </si>
  <si>
    <t>Total de Casos</t>
  </si>
  <si>
    <t>Pasaron</t>
  </si>
  <si>
    <t>Fallaron</t>
  </si>
  <si>
    <t>Pendientes</t>
  </si>
  <si>
    <t>Media</t>
  </si>
  <si>
    <t>Gestor de casos de prueba</t>
  </si>
  <si>
    <t>VERSION: 1</t>
  </si>
  <si>
    <t xml:space="preserve">                        Función</t>
  </si>
  <si>
    <t>Nombre</t>
  </si>
  <si>
    <t>Firma</t>
  </si>
  <si>
    <t>Preparado por:</t>
  </si>
  <si>
    <t>Revisado por:</t>
  </si>
  <si>
    <t>Ejecutado por:</t>
  </si>
  <si>
    <t>Líder de testing:</t>
  </si>
  <si>
    <t>Fecha</t>
  </si>
  <si>
    <t>x</t>
  </si>
  <si>
    <t>Ejecución</t>
  </si>
  <si>
    <t>Preparación</t>
  </si>
  <si>
    <t>REV.: 1</t>
  </si>
  <si>
    <t>Analisis exploratorio Url real</t>
  </si>
  <si>
    <t>DOC. REF.: 3PC-001-I</t>
  </si>
  <si>
    <t>FECHA: 23/01/2026</t>
  </si>
  <si>
    <t>Aldana Martellotti</t>
  </si>
  <si>
    <t>https://tinabeauty.com.ar</t>
  </si>
  <si>
    <t>Alta</t>
  </si>
  <si>
    <t>Desglosar "categorias" seleccionar "SKINCARE"</t>
  </si>
  <si>
    <t>Categorias, skincare</t>
  </si>
  <si>
    <t>Serum, Mascarillas, Insumos Skincare</t>
  </si>
  <si>
    <t>Mascarillas, Insumos skincare</t>
  </si>
  <si>
    <t>Falló</t>
  </si>
  <si>
    <t>Buscar en lupa "Mascarilla" hacer "enter"</t>
  </si>
  <si>
    <t>"Mascarilla"</t>
  </si>
  <si>
    <t>Skincare--&gt;Mascarillas--&gt;Mascarillas collagen gold para ojos</t>
  </si>
  <si>
    <t>Baja</t>
  </si>
  <si>
    <t>Desglosar "Categorias" buscar "Bazar"</t>
  </si>
  <si>
    <t>"Bazar"</t>
  </si>
  <si>
    <t>Bazar</t>
  </si>
  <si>
    <t>Bazar, Bazar, Bazar</t>
  </si>
  <si>
    <t>Desglosar "Categorias" seleccionar "Perfumeria"</t>
  </si>
  <si>
    <t>Categorias, Perfumeria</t>
  </si>
  <si>
    <t>Skincare--&gt;Mascarillas</t>
  </si>
  <si>
    <t>Perfume Cartera, PERFUME TUBITO, BODY SPLASH, PERFUMES GRANDES, PERFUMES MINIATURA</t>
  </si>
  <si>
    <t>Perfumero, PERFUME CARTERA</t>
  </si>
  <si>
    <t>Desglosar "Categorias" buscar "Brocha"</t>
  </si>
  <si>
    <t>Categorias, Brochas</t>
  </si>
  <si>
    <t>Brocha</t>
  </si>
  <si>
    <t>Brocha, Brocha</t>
  </si>
  <si>
    <t>Categoría "Skincare" no muestra productos correctamente</t>
  </si>
  <si>
    <t>Resultado de búsqueda muestra ruta incorrecta del producto</t>
  </si>
  <si>
    <t>Categoría "Brocha" duplicada</t>
  </si>
  <si>
    <t>Categoria "Bazar" triplicado</t>
  </si>
  <si>
    <t>Categoria "Perfumeria" no muestra productos correctamente</t>
  </si>
  <si>
    <t>La categoría "Skincare" muestra la subcategoría "Mascarillas", pero no carga productos asociados.
Se detecta inconsistencia en las URLs:
/skincare/ no presenta productos
/skincare1/ sí contiene la subcategoría "Mascarillas"
Esto sugiere un problema en la configuración o asociación de categorías.
Evidencia: imagen "Evidencia_1_Mascarillas"</t>
  </si>
  <si>
    <t>Al realizar la búsqueda de "Mascarilla", el producto se muestra en los resultados, pero presenta una ruta de navegación incorrecta.
Se espera que el producto esté asociado a la categoría:
Skincare → Mascarillas
Sin embargo, se visualiza una estructura distinta o incompleta, lo que indica una incorrecta asociación de categorías.
Evidencia: imagen "Evidencia_2_Ruta_Mascarilla"</t>
  </si>
  <si>
    <t>Se detecta que la categoría "Brocha" se encuentra duplicada dentro del menú de categorías.
Ambas opciones son visualmente idénticas, pero dirigen a URLs diferentes:
/brocha1/
/brocha2/
Cada una contiene productos distintos, lo que indica una incorrecta configuración o duplicación de categorías.
Evidencia: imágenes "Evidencia_5_Brocha" y "Evidencia_6_Brocha"</t>
  </si>
  <si>
    <t>En la pantalla de inicio, la categoría "Bazar" se muestra duplicada en tres ocasiones.
Solo una de ellas contiene productos, mientras que las demás no presentan contenido o muestran productos que no corresponden a dicha categoría.
Esto indica una inconsistencia en la configuración o asignación de categorías.</t>
  </si>
  <si>
    <t>Dentro de la categoría "Perfumería", solo se visualizan dos productos, lo cual no coincide con la cantidad total disponible.
Al realizar una búsqueda por la palabra "perfume", se muestran productos adicionales que no aparecen dentro de la categoría mencionada.
Se detecta una inconsistencia en la asociación de productos:
El producto "Perfume Tubito" se encuentra asociado a la categoría "Productos"
(/productos/perfume-tubito)
Sin embargo, también es accesible desde la categoría "Perfumería"
(/perfumeria/perfume-tubito/)
Esto indica una incorrecta asignación o configuración de categorías, afectando la navegación y visibilidad de los productos.
Evidencia: imágenes "Evidencia_3", "Evidencia_3-1" y "Evidencia_4"</t>
  </si>
  <si>
    <t>Problema detectado</t>
  </si>
  <si>
    <t>Evidencia</t>
  </si>
  <si>
    <t>Descripción</t>
  </si>
  <si>
    <t>El elemento no tiene atributo title.
Modificación suguerida:
El elemento está en orden de tabulación y no tiene texto accesible.</t>
  </si>
  <si>
    <t>Ensure links have discernible text (textos no legibles)</t>
  </si>
  <si>
    <t>Elements must meet minimum color contrast ratio threshold</t>
  </si>
  <si>
    <t>En este ejemplo, se recomienda modificar el contraste suguerido a una espectativa de  of 4.5:1</t>
  </si>
  <si>
    <t>Otro ejemplo de contraste</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</si>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</sst>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C0A]d\-mmm\-yy;@"/>
    <numFmt numFmtId="165" formatCode="&quot;DOC REF: NAH.ASC.PR.21E10.&quot;000"/>
    <numFmt numFmtId="166" formatCode="&quot;ISSUE : &quot;00"/>
    <numFmt numFmtId="167" formatCode="&quot;DATE : &quot;dd/mmm/yyyy"/>
    <numFmt numFmtId="168" formatCode="dd/mm/yy;@"/>
  </numFmts>
  <fonts count="13" x14ac:knownFonts="1">
    <font>
      <sz val="11"/>
      <color theme="1"/>
      <name val="Aptos Narrow"/>
      <family val="2"/>
      <scheme val="minor"/>
    </font>
    <font>
      <b/>
      <sz val="14"/>
      <name val="Calibri"/>
    </font>
    <font>
      <b/>
      <sz val="11"/>
      <name val="Calibri"/>
    </font>
    <font>
      <sz val="11"/>
      <color theme="1"/>
      <name val="Aptos Narrow"/>
      <family val="2"/>
      <scheme val="minor"/>
    </font>
    <font>
      <sz val="10"/>
      <name val="MS Sans Serif"/>
      <family val="2"/>
    </font>
    <font>
      <sz val="10"/>
      <name val="Arial"/>
      <family val="2"/>
    </font>
    <font>
      <b/>
      <sz val="36"/>
      <name val="Arial"/>
      <family val="2"/>
    </font>
    <font>
      <b/>
      <sz val="18"/>
      <name val="Arial"/>
      <family val="2"/>
    </font>
    <font>
      <b/>
      <sz val="14"/>
      <name val="Arial"/>
      <family val="2"/>
    </font>
    <font>
      <b/>
      <sz val="10"/>
      <name val="Arial"/>
      <family val="2"/>
    </font>
    <font>
      <b/>
      <sz val="10"/>
      <name val="MS Sans Serif"/>
      <family val="2"/>
    </font>
    <font>
      <b/>
      <sz val="11"/>
      <color theme="1"/>
      <name val="Aptos Narrow"/>
      <family val="2"/>
      <scheme val="minor"/>
    </font>
    <font>
      <sz val="11"/>
      <color theme="1"/>
      <name val="Calibri"/>
      <family val="2"/>
    </font>
  </fonts>
  <fills count="9">
    <fill>
      <patternFill patternType="none"/>
    </fill>
    <fill>
      <patternFill patternType="gray125"/>
    </fill>
    <fill>
      <patternFill patternType="solid">
        <fgColor rgb="FFBDD7EE"/>
        <bgColor rgb="FFBDD7EE"/>
      </patternFill>
    </fill>
    <fill>
      <patternFill patternType="solid">
        <fgColor indexed="9"/>
        <bgColor indexed="64"/>
      </patternFill>
    </fill>
    <fill>
      <patternFill patternType="solid">
        <fgColor theme="0"/>
        <bgColor indexed="64"/>
      </patternFill>
    </fill>
    <fill>
      <patternFill patternType="solid">
        <fgColor indexed="47"/>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164" fontId="4" fillId="0" borderId="0"/>
    <xf numFmtId="0" fontId="4" fillId="0" borderId="0"/>
    <xf numFmtId="164" fontId="3" fillId="0" borderId="0"/>
    <xf numFmtId="164" fontId="4" fillId="0" borderId="0"/>
  </cellStyleXfs>
  <cellXfs count="85">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5" fillId="3" borderId="9" xfId="1" applyFont="1" applyFill="1" applyBorder="1" applyAlignment="1">
      <alignment horizontal="center" vertical="top"/>
    </xf>
    <xf numFmtId="164" fontId="5" fillId="3" borderId="10" xfId="1" applyFont="1" applyFill="1" applyBorder="1" applyAlignment="1">
      <alignment horizontal="center" vertical="top"/>
    </xf>
    <xf numFmtId="164" fontId="5" fillId="3" borderId="10" xfId="1" applyFont="1" applyFill="1" applyBorder="1" applyAlignment="1">
      <alignment horizontal="left" vertical="top" wrapText="1"/>
    </xf>
    <xf numFmtId="164" fontId="5" fillId="3" borderId="10" xfId="1" applyFont="1" applyFill="1" applyBorder="1" applyAlignment="1">
      <alignment horizontal="center" vertical="center"/>
    </xf>
    <xf numFmtId="164" fontId="5" fillId="3" borderId="10" xfId="1" applyFont="1" applyFill="1" applyBorder="1" applyAlignment="1" applyProtection="1">
      <alignment horizontal="left"/>
      <protection hidden="1"/>
    </xf>
    <xf numFmtId="164" fontId="5" fillId="3" borderId="10" xfId="1" applyFont="1" applyFill="1" applyBorder="1" applyAlignment="1" applyProtection="1">
      <alignment horizontal="left" vertical="top" wrapText="1"/>
      <protection hidden="1"/>
    </xf>
    <xf numFmtId="164" fontId="4" fillId="3" borderId="11" xfId="1" applyFill="1" applyBorder="1"/>
    <xf numFmtId="164" fontId="5" fillId="3" borderId="12" xfId="1" applyFont="1" applyFill="1" applyBorder="1" applyAlignment="1">
      <alignment horizontal="center" vertical="top"/>
    </xf>
    <xf numFmtId="164" fontId="5" fillId="3" borderId="0" xfId="1" applyFont="1" applyFill="1" applyAlignment="1">
      <alignment horizontal="center" vertical="top"/>
    </xf>
    <xf numFmtId="164" fontId="5" fillId="3" borderId="0" xfId="1" applyFont="1" applyFill="1" applyAlignment="1">
      <alignment horizontal="left" vertical="top" wrapText="1"/>
    </xf>
    <xf numFmtId="164" fontId="5" fillId="3" borderId="0" xfId="1" applyFont="1" applyFill="1" applyAlignment="1">
      <alignment horizontal="center" vertical="center"/>
    </xf>
    <xf numFmtId="164" fontId="5" fillId="3" borderId="0" xfId="1" applyFont="1" applyFill="1" applyAlignment="1" applyProtection="1">
      <alignment horizontal="left"/>
      <protection hidden="1"/>
    </xf>
    <xf numFmtId="164" fontId="5" fillId="3" borderId="0" xfId="1" applyFont="1" applyFill="1" applyAlignment="1" applyProtection="1">
      <alignment horizontal="left" vertical="top" wrapText="1"/>
      <protection hidden="1"/>
    </xf>
    <xf numFmtId="164" fontId="4" fillId="3" borderId="13" xfId="1" applyFill="1" applyBorder="1"/>
    <xf numFmtId="0" fontId="0" fillId="0" borderId="0" xfId="0" applyAlignment="1">
      <alignment horizontal="center"/>
    </xf>
    <xf numFmtId="164" fontId="5" fillId="3" borderId="12" xfId="1" applyFont="1" applyFill="1" applyBorder="1" applyAlignment="1" applyProtection="1">
      <alignment horizontal="center" vertical="center"/>
      <protection hidden="1"/>
    </xf>
    <xf numFmtId="164" fontId="5" fillId="3" borderId="0" xfId="1" applyFont="1" applyFill="1" applyAlignment="1" applyProtection="1">
      <alignment horizontal="center" vertical="center"/>
      <protection hidden="1"/>
    </xf>
    <xf numFmtId="164" fontId="7" fillId="3" borderId="0" xfId="1" applyFont="1" applyFill="1" applyAlignment="1" applyProtection="1">
      <alignment horizontal="centerContinuous" vertical="center"/>
      <protection hidden="1"/>
    </xf>
    <xf numFmtId="164" fontId="5" fillId="3" borderId="0" xfId="1" applyFont="1" applyFill="1" applyAlignment="1">
      <alignment horizontal="centerContinuous" vertical="center"/>
    </xf>
    <xf numFmtId="164" fontId="8" fillId="3" borderId="0" xfId="1" applyFont="1" applyFill="1" applyAlignment="1" applyProtection="1">
      <alignment horizontal="centerContinuous" vertical="center"/>
      <protection hidden="1"/>
    </xf>
    <xf numFmtId="164" fontId="5" fillId="3" borderId="0" xfId="1" applyFont="1" applyFill="1" applyAlignment="1" applyProtection="1">
      <alignment horizontal="centerContinuous" vertical="center" wrapText="1"/>
      <protection hidden="1"/>
    </xf>
    <xf numFmtId="164" fontId="4" fillId="3" borderId="13" xfId="1" applyFill="1" applyBorder="1" applyAlignment="1">
      <alignment vertical="center"/>
    </xf>
    <xf numFmtId="164" fontId="5" fillId="3" borderId="12" xfId="1" applyFont="1" applyFill="1" applyBorder="1" applyAlignment="1">
      <alignment vertical="center"/>
    </xf>
    <xf numFmtId="164" fontId="5" fillId="3" borderId="0" xfId="1" applyFont="1" applyFill="1" applyAlignment="1">
      <alignment vertical="center"/>
    </xf>
    <xf numFmtId="165" fontId="9" fillId="3" borderId="0" xfId="1" applyNumberFormat="1" applyFont="1" applyFill="1" applyAlignment="1" applyProtection="1">
      <alignment horizontal="left" vertical="center" wrapText="1"/>
      <protection hidden="1"/>
    </xf>
    <xf numFmtId="164" fontId="5" fillId="3" borderId="13" xfId="1" applyFont="1" applyFill="1" applyBorder="1" applyAlignment="1">
      <alignment vertical="center"/>
    </xf>
    <xf numFmtId="166" fontId="9" fillId="3" borderId="0" xfId="1" applyNumberFormat="1" applyFont="1" applyFill="1" applyAlignment="1">
      <alignment horizontal="left" vertical="center"/>
    </xf>
    <xf numFmtId="164" fontId="9" fillId="3" borderId="0" xfId="1" applyFont="1" applyFill="1" applyAlignment="1" applyProtection="1">
      <alignment horizontal="centerContinuous" vertical="center"/>
      <protection hidden="1"/>
    </xf>
    <xf numFmtId="2" fontId="5" fillId="3" borderId="0" xfId="1" applyNumberFormat="1" applyFont="1" applyFill="1" applyAlignment="1" applyProtection="1">
      <alignment horizontal="center" vertical="center"/>
      <protection hidden="1"/>
    </xf>
    <xf numFmtId="164" fontId="5" fillId="3" borderId="0" xfId="1" applyFont="1" applyFill="1" applyAlignment="1" applyProtection="1">
      <alignment horizontal="left" vertical="center" wrapText="1"/>
      <protection hidden="1"/>
    </xf>
    <xf numFmtId="167" fontId="9" fillId="4" borderId="0" xfId="1" applyNumberFormat="1" applyFont="1" applyFill="1" applyAlignment="1">
      <alignment horizontal="left" vertical="center"/>
    </xf>
    <xf numFmtId="164" fontId="5" fillId="3" borderId="0" xfId="1" applyFont="1" applyFill="1" applyAlignment="1" applyProtection="1">
      <alignment horizontal="left" vertical="center"/>
      <protection hidden="1"/>
    </xf>
    <xf numFmtId="4" fontId="9" fillId="5" borderId="14" xfId="1" applyNumberFormat="1" applyFont="1" applyFill="1" applyBorder="1" applyAlignment="1" applyProtection="1">
      <alignment horizontal="left" vertical="center"/>
      <protection hidden="1"/>
    </xf>
    <xf numFmtId="164" fontId="9" fillId="5" borderId="17" xfId="1" applyFont="1" applyFill="1" applyBorder="1" applyAlignment="1" applyProtection="1">
      <alignment horizontal="center" vertical="center"/>
      <protection hidden="1"/>
    </xf>
    <xf numFmtId="164" fontId="10" fillId="3" borderId="18" xfId="1" applyFont="1" applyFill="1" applyBorder="1" applyAlignment="1">
      <alignment vertical="center"/>
    </xf>
    <xf numFmtId="164" fontId="5" fillId="3" borderId="19" xfId="1" applyFont="1" applyFill="1" applyBorder="1" applyAlignment="1">
      <alignment horizontal="left" vertical="center"/>
    </xf>
    <xf numFmtId="14" fontId="5" fillId="3" borderId="22" xfId="4" applyNumberFormat="1" applyFont="1" applyFill="1" applyBorder="1" applyAlignment="1">
      <alignment horizontal="center" vertical="center"/>
    </xf>
    <xf numFmtId="14" fontId="5" fillId="3" borderId="18" xfId="4" applyNumberFormat="1" applyFont="1" applyFill="1" applyBorder="1" applyAlignment="1">
      <alignment horizontal="center" vertical="center"/>
    </xf>
    <xf numFmtId="164" fontId="5" fillId="3" borderId="23" xfId="4" quotePrefix="1" applyFont="1" applyFill="1" applyBorder="1" applyAlignment="1">
      <alignment horizontal="left" vertical="center"/>
    </xf>
    <xf numFmtId="14" fontId="5" fillId="3" borderId="24" xfId="4" applyNumberFormat="1" applyFont="1" applyFill="1" applyBorder="1" applyAlignment="1">
      <alignment horizontal="center" vertical="center"/>
    </xf>
    <xf numFmtId="0" fontId="5" fillId="3" borderId="12" xfId="1" applyNumberFormat="1" applyFont="1" applyFill="1" applyBorder="1" applyAlignment="1" applyProtection="1">
      <alignment horizontal="center" vertical="center"/>
      <protection hidden="1"/>
    </xf>
    <xf numFmtId="0" fontId="5" fillId="3" borderId="0" xfId="1" applyNumberFormat="1" applyFont="1" applyFill="1" applyAlignment="1" applyProtection="1">
      <alignment horizontal="center" vertical="center"/>
      <protection hidden="1"/>
    </xf>
    <xf numFmtId="0" fontId="5" fillId="3" borderId="25" xfId="4" quotePrefix="1" applyNumberFormat="1" applyFont="1" applyFill="1" applyBorder="1" applyAlignment="1">
      <alignment horizontal="left" vertical="center"/>
    </xf>
    <xf numFmtId="14" fontId="5" fillId="3" borderId="26" xfId="4" applyNumberFormat="1" applyFont="1" applyFill="1" applyBorder="1" applyAlignment="1">
      <alignment horizontal="center" vertical="center"/>
    </xf>
    <xf numFmtId="0" fontId="5" fillId="3" borderId="27" xfId="4" applyNumberFormat="1" applyFont="1" applyFill="1" applyBorder="1" applyAlignment="1">
      <alignment horizontal="left" vertical="center"/>
    </xf>
    <xf numFmtId="14" fontId="5" fillId="3" borderId="30" xfId="4" applyNumberFormat="1" applyFont="1" applyFill="1" applyBorder="1" applyAlignment="1">
      <alignment horizontal="center" vertical="center"/>
    </xf>
    <xf numFmtId="164" fontId="5" fillId="3" borderId="31" xfId="1" applyFont="1" applyFill="1" applyBorder="1" applyAlignment="1" applyProtection="1">
      <alignment horizontal="center" vertical="top"/>
      <protection hidden="1"/>
    </xf>
    <xf numFmtId="164" fontId="5" fillId="3" borderId="32" xfId="1" applyFont="1" applyFill="1" applyBorder="1" applyAlignment="1" applyProtection="1">
      <alignment horizontal="center" vertical="top"/>
      <protection hidden="1"/>
    </xf>
    <xf numFmtId="164" fontId="5" fillId="3" borderId="32" xfId="1" applyFont="1" applyFill="1" applyBorder="1" applyAlignment="1" applyProtection="1">
      <alignment horizontal="left" vertical="center" wrapText="1"/>
      <protection hidden="1"/>
    </xf>
    <xf numFmtId="164" fontId="5" fillId="3" borderId="32" xfId="1" applyFont="1" applyFill="1" applyBorder="1" applyAlignment="1">
      <alignment horizontal="left" vertical="center"/>
    </xf>
    <xf numFmtId="164" fontId="5" fillId="3" borderId="32" xfId="1" applyFont="1" applyFill="1" applyBorder="1" applyAlignment="1" applyProtection="1">
      <alignment horizontal="left"/>
      <protection hidden="1"/>
    </xf>
    <xf numFmtId="164" fontId="5" fillId="3" borderId="32" xfId="1" applyFont="1" applyFill="1" applyBorder="1" applyAlignment="1" applyProtection="1">
      <alignment horizontal="left" vertical="top" wrapText="1"/>
      <protection hidden="1"/>
    </xf>
    <xf numFmtId="164" fontId="4" fillId="3" borderId="33" xfId="1" applyFill="1" applyBorder="1"/>
    <xf numFmtId="0" fontId="1" fillId="0" borderId="0" xfId="0" applyFont="1"/>
    <xf numFmtId="168" fontId="0" fillId="0" borderId="0" xfId="0" applyNumberFormat="1"/>
    <xf numFmtId="168" fontId="0" fillId="0" borderId="7" xfId="0" applyNumberFormat="1" applyBorder="1"/>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168" fontId="2" fillId="2" borderId="2" xfId="0" applyNumberFormat="1" applyFont="1" applyFill="1" applyBorder="1" applyAlignment="1">
      <alignment horizontal="left" wrapText="1"/>
    </xf>
    <xf numFmtId="0" fontId="2" fillId="2" borderId="3" xfId="0" applyFont="1" applyFill="1" applyBorder="1" applyAlignment="1">
      <alignment horizontal="left" wrapText="1"/>
    </xf>
    <xf numFmtId="0" fontId="12" fillId="0" borderId="0" xfId="0" applyFont="1"/>
    <xf numFmtId="0" fontId="0" fillId="0" borderId="5" xfId="0" applyBorder="1" applyAlignment="1">
      <alignment wrapText="1"/>
    </xf>
    <xf numFmtId="0" fontId="0" fillId="0" borderId="0" xfId="0" applyAlignment="1">
      <alignment vertical="top" wrapText="1"/>
    </xf>
    <xf numFmtId="0" fontId="0" fillId="0" borderId="0" xfId="0" applyAlignment="1">
      <alignment horizontal="center"/>
    </xf>
    <xf numFmtId="0" fontId="5" fillId="3" borderId="20" xfId="2" applyFont="1" applyFill="1" applyBorder="1" applyAlignment="1">
      <alignment horizontal="left" vertical="center"/>
    </xf>
    <xf numFmtId="164" fontId="3" fillId="0" borderId="21" xfId="3" applyBorder="1" applyAlignment="1">
      <alignment vertical="center"/>
    </xf>
    <xf numFmtId="164" fontId="5" fillId="3" borderId="28" xfId="4" applyFont="1" applyFill="1" applyBorder="1" applyAlignment="1">
      <alignment horizontal="left" vertical="center"/>
    </xf>
    <xf numFmtId="164" fontId="3" fillId="0" borderId="29" xfId="3" applyBorder="1" applyAlignment="1">
      <alignment horizontal="left" vertical="center"/>
    </xf>
    <xf numFmtId="164" fontId="6" fillId="3" borderId="12" xfId="1" applyFont="1" applyFill="1" applyBorder="1" applyAlignment="1">
      <alignment horizontal="center" vertical="center"/>
    </xf>
    <xf numFmtId="0" fontId="0" fillId="0" borderId="13" xfId="0" applyBorder="1" applyAlignment="1">
      <alignment horizontal="center"/>
    </xf>
    <xf numFmtId="164" fontId="7" fillId="3" borderId="12" xfId="1" applyFont="1" applyFill="1" applyBorder="1" applyAlignment="1" applyProtection="1">
      <alignment horizontal="center" vertical="center"/>
      <protection hidden="1"/>
    </xf>
    <xf numFmtId="0" fontId="0" fillId="0" borderId="13" xfId="0" applyBorder="1"/>
    <xf numFmtId="164" fontId="9" fillId="5" borderId="15" xfId="1" applyFont="1" applyFill="1" applyBorder="1" applyAlignment="1" applyProtection="1">
      <alignment horizontal="center" vertical="center"/>
      <protection hidden="1"/>
    </xf>
    <xf numFmtId="164" fontId="9" fillId="5" borderId="16" xfId="1" applyFont="1" applyFill="1" applyBorder="1" applyAlignment="1" applyProtection="1">
      <alignment horizontal="center" vertical="center"/>
      <protection hidden="1"/>
    </xf>
    <xf numFmtId="0" fontId="11" fillId="7" borderId="6" xfId="0" applyFont="1" applyFill="1" applyBorder="1" applyAlignment="1">
      <alignment horizontal="center"/>
    </xf>
    <xf numFmtId="0" fontId="11" fillId="7" borderId="7" xfId="0" applyFont="1" applyFill="1" applyBorder="1" applyAlignment="1">
      <alignment horizontal="center"/>
    </xf>
    <xf numFmtId="0" fontId="11" fillId="6" borderId="7" xfId="0" applyFont="1" applyFill="1" applyBorder="1" applyAlignment="1">
      <alignment horizontal="center"/>
    </xf>
    <xf numFmtId="0" fontId="0" fillId="8" borderId="0" xfId="0" applyFill="1"/>
    <xf numFmtId="0" fontId="0" fillId="8" borderId="0" xfId="0" applyFill="1" applyAlignment="1">
      <alignment horizontal="center"/>
    </xf>
  </cellXfs>
  <cellStyles count="5">
    <cellStyle name="Normal" xfId="0" builtinId="0"/>
    <cellStyle name="Normal 16" xfId="3" xr:uid="{ADA7EB5E-C0DE-40B8-B574-B5392EB2AB5C}"/>
    <cellStyle name="Normal_425_3_0 - Enhanced Satellite Monitoring" xfId="1" xr:uid="{B677C0B9-B702-4967-A4DE-AB4955781139}"/>
    <cellStyle name="Normal_425_3_0 - Enhanced Satellite Monitoring_First Page 2" xfId="2" xr:uid="{BDA5DBF8-CEA2-4EA3-AFB1-2EC59A440EC5}"/>
    <cellStyle name="Normal_First Page" xfId="4" xr:uid="{DD2DD24C-9574-42D3-A4E4-2A031C9CCBFB}"/>
  </cellStyles>
  <dxfs count="3">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s-AR"/>
              <a:t>Estado de Casos de Prueba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AR"/>
        </a:p>
      </c:txPr>
    </c:title>
    <c:autoTitleDeleted val="0"/>
    <c:plotArea>
      <c:layout/>
      <c:pieChart>
        <c:varyColors val="1"/>
        <c:ser>
          <c:idx val="0"/>
          <c:order val="0"/>
          <c:dPt>
            <c:idx val="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03A-4021-80FC-311FF70D435A}"/>
              </c:ext>
            </c:extLst>
          </c:dPt>
          <c:dPt>
            <c:idx val="1"/>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A03A-4021-80FC-311FF70D435A}"/>
              </c:ext>
            </c:extLst>
          </c:dPt>
          <c:dPt>
            <c:idx val="2"/>
            <c:bubble3D val="0"/>
            <c:spPr>
              <a:solidFill>
                <a:schemeClr val="bg1">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0-A03A-4021-80FC-311FF70D435A}"/>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0"/>
              <c:showCatName val="0"/>
              <c:showSerName val="0"/>
              <c:showPercent val="1"/>
              <c:showBubbleSize val="0"/>
              <c:extLst>
                <c:ext xmlns:c16="http://schemas.microsoft.com/office/drawing/2014/chart" uri="{C3380CC4-5D6E-409C-BE32-E72D297353CC}">
                  <c16:uniqueId val="{00000001-A03A-4021-80FC-311FF70D435A}"/>
                </c:ext>
              </c:extLst>
            </c:dLbl>
            <c:dLbl>
              <c:idx val="1"/>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0"/>
              <c:showCatName val="0"/>
              <c:showSerName val="0"/>
              <c:showPercent val="1"/>
              <c:showBubbleSize val="0"/>
              <c:extLst>
                <c:ext xmlns:c16="http://schemas.microsoft.com/office/drawing/2014/chart" uri="{C3380CC4-5D6E-409C-BE32-E72D297353CC}">
                  <c16:uniqueId val="{00000002-A03A-4021-80FC-311FF70D435A}"/>
                </c:ext>
              </c:extLst>
            </c:dLbl>
            <c:dLbl>
              <c:idx val="2"/>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0"/>
              <c:showCatName val="0"/>
              <c:showSerName val="0"/>
              <c:showPercent val="1"/>
              <c:showBubbleSize val="0"/>
              <c:extLst>
                <c:ext xmlns:c16="http://schemas.microsoft.com/office/drawing/2014/chart" uri="{C3380CC4-5D6E-409C-BE32-E72D297353CC}">
                  <c16:uniqueId val="{00000000-A03A-4021-80FC-311FF70D43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Dashboard!$A$4:$A$6</c:f>
              <c:strCache>
                <c:ptCount val="3"/>
                <c:pt idx="0">
                  <c:v>Pasaron</c:v>
                </c:pt>
                <c:pt idx="1">
                  <c:v>Fallaron</c:v>
                </c:pt>
                <c:pt idx="2">
                  <c:v>Pendientes</c:v>
                </c:pt>
              </c:strCache>
            </c:strRef>
          </c:cat>
          <c:val>
            <c:numRef>
              <c:f>Dashboard!$B$4:$B$6</c:f>
              <c:numCache>
                <c:formatCode>General</c:formatCode>
                <c:ptCount val="3"/>
                <c:pt idx="0">
                  <c:v>0</c:v>
                </c:pt>
                <c:pt idx="1">
                  <c:v>5</c:v>
                </c:pt>
                <c:pt idx="2">
                  <c:v>0</c:v>
                </c:pt>
              </c:numCache>
            </c:numRef>
          </c:val>
          <c:extLst>
            <c:ext xmlns:c16="http://schemas.microsoft.com/office/drawing/2014/chart" uri="{C3380CC4-5D6E-409C-BE32-E72D297353CC}">
              <c16:uniqueId val="{00000000-D551-4C61-968A-07FEA321D0D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238125</xdr:colOff>
      <xdr:row>2</xdr:row>
      <xdr:rowOff>38100</xdr:rowOff>
    </xdr:from>
    <xdr:ext cx="6229350" cy="4362450"/>
    <xdr:graphicFrame macro="">
      <xdr:nvGraphicFramePr>
        <xdr:cNvPr id="2" name="Chart 1">
          <a:extLst>
            <a:ext uri="{FF2B5EF4-FFF2-40B4-BE49-F238E27FC236}">
              <a16:creationId xmlns:a16="http://schemas.microsoft.com/office/drawing/2014/main" id="{F0838A9F-C86B-481C-92F6-343C8031C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66675</xdr:colOff>
      <xdr:row>1</xdr:row>
      <xdr:rowOff>8407</xdr:rowOff>
    </xdr:from>
    <xdr:to>
      <xdr:col>8</xdr:col>
      <xdr:colOff>373287</xdr:colOff>
      <xdr:row>1</xdr:row>
      <xdr:rowOff>2753745</xdr:rowOff>
    </xdr:to>
    <xdr:pic>
      <xdr:nvPicPr>
        <xdr:cNvPr id="3" name="Imagen 2">
          <a:extLst>
            <a:ext uri="{FF2B5EF4-FFF2-40B4-BE49-F238E27FC236}">
              <a16:creationId xmlns:a16="http://schemas.microsoft.com/office/drawing/2014/main" id="{C61FD6D6-11DA-4C87-93F2-EF65E9B35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0675" y="198907"/>
          <a:ext cx="4878612" cy="2745338"/>
        </a:xfrm>
        <a:prstGeom prst="rect">
          <a:avLst/>
        </a:prstGeom>
      </xdr:spPr>
    </xdr:pic>
    <xdr:clientData/>
  </xdr:twoCellAnchor>
  <xdr:twoCellAnchor editAs="oneCell">
    <xdr:from>
      <xdr:col>2</xdr:col>
      <xdr:colOff>95252</xdr:colOff>
      <xdr:row>3</xdr:row>
      <xdr:rowOff>1</xdr:rowOff>
    </xdr:from>
    <xdr:to>
      <xdr:col>8</xdr:col>
      <xdr:colOff>646284</xdr:colOff>
      <xdr:row>3</xdr:row>
      <xdr:rowOff>2876550</xdr:rowOff>
    </xdr:to>
    <xdr:pic>
      <xdr:nvPicPr>
        <xdr:cNvPr id="2" name="Imagen 1">
          <a:extLst>
            <a:ext uri="{FF2B5EF4-FFF2-40B4-BE49-F238E27FC236}">
              <a16:creationId xmlns:a16="http://schemas.microsoft.com/office/drawing/2014/main" id="{EE584014-EE33-E719-92B1-DD22C797CA8F}"/>
            </a:ext>
          </a:extLst>
        </xdr:cNvPr>
        <xdr:cNvPicPr>
          <a:picLocks noChangeAspect="1"/>
        </xdr:cNvPicPr>
      </xdr:nvPicPr>
      <xdr:blipFill>
        <a:blip xmlns:r="http://schemas.openxmlformats.org/officeDocument/2006/relationships" r:embed="rId2"/>
        <a:stretch>
          <a:fillRect/>
        </a:stretch>
      </xdr:blipFill>
      <xdr:spPr>
        <a:xfrm>
          <a:off x="2924177" y="3162301"/>
          <a:ext cx="5123032" cy="2876549"/>
        </a:xfrm>
        <a:prstGeom prst="rect">
          <a:avLst/>
        </a:prstGeom>
      </xdr:spPr>
    </xdr:pic>
    <xdr:clientData/>
  </xdr:twoCellAnchor>
  <xdr:twoCellAnchor editAs="oneCell">
    <xdr:from>
      <xdr:col>2</xdr:col>
      <xdr:colOff>95248</xdr:colOff>
      <xdr:row>5</xdr:row>
      <xdr:rowOff>1</xdr:rowOff>
    </xdr:from>
    <xdr:to>
      <xdr:col>8</xdr:col>
      <xdr:colOff>642936</xdr:colOff>
      <xdr:row>5</xdr:row>
      <xdr:rowOff>2884611</xdr:rowOff>
    </xdr:to>
    <xdr:pic>
      <xdr:nvPicPr>
        <xdr:cNvPr id="4" name="Imagen 3">
          <a:extLst>
            <a:ext uri="{FF2B5EF4-FFF2-40B4-BE49-F238E27FC236}">
              <a16:creationId xmlns:a16="http://schemas.microsoft.com/office/drawing/2014/main" id="{65056590-2040-BD42-FBF1-908AB41E8E55}"/>
            </a:ext>
          </a:extLst>
        </xdr:cNvPr>
        <xdr:cNvPicPr>
          <a:picLocks noChangeAspect="1"/>
        </xdr:cNvPicPr>
      </xdr:nvPicPr>
      <xdr:blipFill>
        <a:blip xmlns:r="http://schemas.openxmlformats.org/officeDocument/2006/relationships" r:embed="rId3"/>
        <a:stretch>
          <a:fillRect/>
        </a:stretch>
      </xdr:blipFill>
      <xdr:spPr>
        <a:xfrm>
          <a:off x="2917029" y="6250782"/>
          <a:ext cx="5119688" cy="288052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AF58-DFC4-447E-9F91-199D1B1A60ED}">
  <dimension ref="A1:G18"/>
  <sheetViews>
    <sheetView tabSelected="1" topLeftCell="A7" zoomScale="120" zoomScaleNormal="120" workbookViewId="0">
      <selection activeCell="B16" sqref="B16"/>
    </sheetView>
  </sheetViews>
  <sheetFormatPr baseColWidth="10" defaultColWidth="11.42578125" defaultRowHeight="15" x14ac:dyDescent="0.25"/>
  <cols>
    <col min="1" max="1" width="8.28515625" customWidth="1"/>
    <col min="2" max="2" width="9.28515625" customWidth="1"/>
    <col min="3" max="3" width="41" customWidth="1"/>
    <col min="4" max="4" width="23.42578125" customWidth="1"/>
    <col min="5" max="5" width="8.5703125" customWidth="1"/>
    <col min="6" max="6" width="41.5703125" customWidth="1"/>
    <col min="7" max="7" width="3.42578125" customWidth="1"/>
  </cols>
  <sheetData>
    <row r="1" spans="1:7" x14ac:dyDescent="0.25">
      <c r="A1" s="6"/>
      <c r="B1" s="7"/>
      <c r="C1" s="8"/>
      <c r="D1" s="9"/>
      <c r="E1" s="10"/>
      <c r="F1" s="11"/>
      <c r="G1" s="12"/>
    </row>
    <row r="2" spans="1:7" x14ac:dyDescent="0.25">
      <c r="A2" s="13"/>
      <c r="B2" s="14"/>
      <c r="C2" s="15"/>
      <c r="D2" s="16"/>
      <c r="E2" s="17"/>
      <c r="F2" s="18"/>
      <c r="G2" s="19"/>
    </row>
    <row r="3" spans="1:7" ht="36" customHeight="1" x14ac:dyDescent="0.25">
      <c r="A3" s="13"/>
      <c r="B3" s="14"/>
      <c r="C3" s="15"/>
      <c r="D3" s="66" t="s">
        <v>35</v>
      </c>
      <c r="E3" s="17"/>
      <c r="G3" s="19"/>
    </row>
    <row r="4" spans="1:7" ht="45" x14ac:dyDescent="0.25">
      <c r="A4" s="74" t="s">
        <v>31</v>
      </c>
      <c r="B4" s="69"/>
      <c r="C4" s="69"/>
      <c r="D4" s="69"/>
      <c r="E4" s="69"/>
      <c r="F4" s="69"/>
      <c r="G4" s="75"/>
    </row>
    <row r="5" spans="1:7" ht="23.25" x14ac:dyDescent="0.25">
      <c r="A5" s="76" t="s">
        <v>17</v>
      </c>
      <c r="B5" s="69"/>
      <c r="C5" s="69"/>
      <c r="D5" s="69"/>
      <c r="E5" s="69"/>
      <c r="F5" s="69"/>
      <c r="G5" s="77"/>
    </row>
    <row r="6" spans="1:7" ht="23.25" x14ac:dyDescent="0.25">
      <c r="A6" s="21"/>
      <c r="B6" s="22"/>
      <c r="C6" s="23"/>
      <c r="D6" s="24"/>
      <c r="E6" s="25"/>
      <c r="F6" s="26"/>
      <c r="G6" s="27"/>
    </row>
    <row r="7" spans="1:7" x14ac:dyDescent="0.25">
      <c r="A7" s="28"/>
      <c r="B7" s="29"/>
      <c r="C7" s="30" t="s">
        <v>32</v>
      </c>
      <c r="D7" s="29"/>
      <c r="E7" s="29"/>
      <c r="F7" s="29"/>
      <c r="G7" s="31"/>
    </row>
    <row r="8" spans="1:7" x14ac:dyDescent="0.25">
      <c r="A8" s="21"/>
      <c r="B8" s="22"/>
      <c r="C8" s="32" t="s">
        <v>18</v>
      </c>
      <c r="D8" s="24"/>
      <c r="E8" s="33"/>
      <c r="F8" s="26"/>
      <c r="G8" s="31"/>
    </row>
    <row r="9" spans="1:7" x14ac:dyDescent="0.25">
      <c r="A9" s="21"/>
      <c r="B9" s="34"/>
      <c r="C9" s="32" t="s">
        <v>30</v>
      </c>
      <c r="D9" s="29"/>
      <c r="E9" s="29"/>
      <c r="F9" s="35"/>
      <c r="G9" s="31"/>
    </row>
    <row r="10" spans="1:7" x14ac:dyDescent="0.25">
      <c r="A10" s="21"/>
      <c r="B10" s="22"/>
      <c r="C10" s="36" t="s">
        <v>33</v>
      </c>
      <c r="D10" s="29"/>
      <c r="E10" s="29"/>
      <c r="F10" s="35"/>
      <c r="G10" s="31"/>
    </row>
    <row r="11" spans="1:7" ht="15.75" thickBot="1" x14ac:dyDescent="0.3">
      <c r="A11" s="21"/>
      <c r="B11" s="22"/>
      <c r="C11" s="35"/>
      <c r="D11" s="22"/>
      <c r="E11" s="37"/>
      <c r="F11" s="35"/>
      <c r="G11" s="27"/>
    </row>
    <row r="12" spans="1:7" ht="15.75" thickBot="1" x14ac:dyDescent="0.3">
      <c r="A12" s="21"/>
      <c r="B12" s="22"/>
      <c r="C12" s="38" t="s">
        <v>19</v>
      </c>
      <c r="D12" s="78" t="s">
        <v>20</v>
      </c>
      <c r="E12" s="79"/>
      <c r="F12" s="39" t="s">
        <v>21</v>
      </c>
      <c r="G12" s="40"/>
    </row>
    <row r="13" spans="1:7" ht="26.25" customHeight="1" thickBot="1" x14ac:dyDescent="0.3">
      <c r="A13" s="21"/>
      <c r="B13" s="22"/>
      <c r="C13" s="41" t="s">
        <v>22</v>
      </c>
      <c r="D13" s="70" t="s">
        <v>34</v>
      </c>
      <c r="E13" s="71"/>
      <c r="F13" s="42" t="s">
        <v>27</v>
      </c>
      <c r="G13" s="43"/>
    </row>
    <row r="14" spans="1:7" ht="26.25" customHeight="1" thickBot="1" x14ac:dyDescent="0.3">
      <c r="A14" s="21"/>
      <c r="B14" s="22"/>
      <c r="C14" s="44" t="s">
        <v>23</v>
      </c>
      <c r="D14" s="70" t="s">
        <v>34</v>
      </c>
      <c r="E14" s="71"/>
      <c r="F14" s="45" t="s">
        <v>27</v>
      </c>
      <c r="G14" s="43"/>
    </row>
    <row r="15" spans="1:7" ht="26.25" customHeight="1" x14ac:dyDescent="0.25">
      <c r="A15" s="46"/>
      <c r="B15" s="47"/>
      <c r="C15" s="48" t="s">
        <v>24</v>
      </c>
      <c r="D15" s="70" t="s">
        <v>34</v>
      </c>
      <c r="E15" s="71"/>
      <c r="F15" s="49" t="s">
        <v>27</v>
      </c>
      <c r="G15" s="43"/>
    </row>
    <row r="16" spans="1:7" ht="26.25" customHeight="1" thickBot="1" x14ac:dyDescent="0.3">
      <c r="A16" s="46"/>
      <c r="B16" s="47"/>
      <c r="C16" s="50" t="s">
        <v>25</v>
      </c>
      <c r="D16" s="72" t="s">
        <v>77</v>
      </c>
      <c r="E16" s="73"/>
      <c r="F16" s="51" t="s">
        <v>27</v>
      </c>
      <c r="G16" s="43"/>
    </row>
    <row r="17" spans="1:7" ht="15" customHeight="1" x14ac:dyDescent="0.25">
      <c r="A17" s="21"/>
      <c r="B17" s="22"/>
      <c r="C17" s="29"/>
      <c r="D17" s="22"/>
      <c r="E17" s="37"/>
      <c r="F17" s="35"/>
      <c r="G17" s="27"/>
    </row>
    <row r="18" spans="1:7" ht="15.75" thickBot="1" x14ac:dyDescent="0.3">
      <c r="A18" s="52"/>
      <c r="B18" s="53"/>
      <c r="C18" s="54"/>
      <c r="D18" s="55"/>
      <c r="E18" s="56"/>
      <c r="F18" s="57"/>
      <c r="G18" s="58"/>
    </row>
  </sheetData>
  <mergeCells count="7">
    <mergeCell ref="D14:E14"/>
    <mergeCell ref="D15:E15"/>
    <mergeCell ref="D16:E16"/>
    <mergeCell ref="A4:G4"/>
    <mergeCell ref="A5:G5"/>
    <mergeCell ref="D13:E13"/>
    <mergeCell ref="D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F8F7-A383-445F-9689-86A3B7DF5F9A}">
  <dimension ref="A1:L102"/>
  <sheetViews>
    <sheetView zoomScaleNormal="100" workbookViewId="0">
      <pane ySplit="2" topLeftCell="A3" activePane="bottomLeft" state="frozen"/>
      <selection pane="bottomLeft" activeCell="B9" sqref="B9"/>
    </sheetView>
  </sheetViews>
  <sheetFormatPr baseColWidth="10" defaultColWidth="9.140625" defaultRowHeight="15" x14ac:dyDescent="0.25"/>
  <cols>
    <col min="1" max="1" width="5" customWidth="1"/>
    <col min="2" max="2" width="25.7109375" customWidth="1"/>
    <col min="3" max="3" width="10.28515625" customWidth="1"/>
    <col min="4" max="4" width="11.7109375" customWidth="1"/>
    <col min="5" max="5" width="17.140625" customWidth="1"/>
    <col min="6" max="6" width="53.7109375" customWidth="1"/>
    <col min="7" max="7" width="18.42578125" customWidth="1"/>
    <col min="8" max="8" width="23.7109375" customWidth="1"/>
    <col min="9" max="9" width="22.42578125" customWidth="1"/>
    <col min="10" max="10" width="10.28515625" customWidth="1"/>
    <col min="11" max="11" width="9.5703125" style="60" customWidth="1"/>
    <col min="12" max="12" width="18.5703125" bestFit="1" customWidth="1"/>
    <col min="13" max="13" width="2" bestFit="1" customWidth="1"/>
  </cols>
  <sheetData>
    <row r="1" spans="1:12" x14ac:dyDescent="0.25">
      <c r="A1" s="82" t="s">
        <v>29</v>
      </c>
      <c r="B1" s="82"/>
      <c r="C1" s="82"/>
      <c r="D1" s="82"/>
      <c r="E1" s="82"/>
      <c r="F1" s="82"/>
      <c r="G1" s="82"/>
      <c r="H1" s="82"/>
      <c r="I1" s="80" t="s">
        <v>28</v>
      </c>
      <c r="J1" s="81"/>
      <c r="K1" s="81"/>
      <c r="L1" s="81"/>
    </row>
    <row r="2" spans="1:12" x14ac:dyDescent="0.25">
      <c r="A2" s="62" t="s">
        <v>0</v>
      </c>
      <c r="B2" s="63" t="s">
        <v>1</v>
      </c>
      <c r="C2" s="63" t="s">
        <v>2</v>
      </c>
      <c r="D2" s="63" t="s">
        <v>3</v>
      </c>
      <c r="E2" s="63" t="s">
        <v>4</v>
      </c>
      <c r="F2" s="63" t="s">
        <v>5</v>
      </c>
      <c r="G2" s="63" t="s">
        <v>6</v>
      </c>
      <c r="H2" s="63" t="s">
        <v>7</v>
      </c>
      <c r="I2" s="62" t="s">
        <v>8</v>
      </c>
      <c r="J2" s="63" t="s">
        <v>9</v>
      </c>
      <c r="K2" s="64" t="s">
        <v>26</v>
      </c>
      <c r="L2" s="65" t="s">
        <v>10</v>
      </c>
    </row>
    <row r="3" spans="1:12" ht="15" customHeight="1" x14ac:dyDescent="0.25">
      <c r="A3" s="1">
        <v>1</v>
      </c>
      <c r="B3" t="s">
        <v>59</v>
      </c>
      <c r="D3" t="s">
        <v>36</v>
      </c>
      <c r="F3" t="s">
        <v>37</v>
      </c>
      <c r="G3" t="s">
        <v>38</v>
      </c>
      <c r="H3" t="s">
        <v>39</v>
      </c>
      <c r="I3" t="s">
        <v>40</v>
      </c>
      <c r="J3" t="s">
        <v>41</v>
      </c>
      <c r="L3" s="67" t="s">
        <v>64</v>
      </c>
    </row>
    <row r="4" spans="1:12" ht="12" customHeight="1" x14ac:dyDescent="0.25">
      <c r="A4" s="1">
        <v>2</v>
      </c>
      <c r="B4" t="s">
        <v>60</v>
      </c>
      <c r="D4" t="s">
        <v>36</v>
      </c>
      <c r="F4" t="s">
        <v>42</v>
      </c>
      <c r="G4" t="s">
        <v>43</v>
      </c>
      <c r="H4" t="s">
        <v>52</v>
      </c>
      <c r="I4" s="1" t="s">
        <v>44</v>
      </c>
      <c r="J4" t="s">
        <v>41</v>
      </c>
      <c r="L4" s="67" t="s">
        <v>65</v>
      </c>
    </row>
    <row r="5" spans="1:12" ht="12" customHeight="1" x14ac:dyDescent="0.25">
      <c r="A5" s="1">
        <v>3</v>
      </c>
      <c r="B5" t="s">
        <v>61</v>
      </c>
      <c r="D5" t="s">
        <v>16</v>
      </c>
      <c r="F5" t="s">
        <v>55</v>
      </c>
      <c r="G5" t="s">
        <v>56</v>
      </c>
      <c r="H5" t="s">
        <v>57</v>
      </c>
      <c r="I5" s="1" t="s">
        <v>58</v>
      </c>
      <c r="J5" t="s">
        <v>41</v>
      </c>
      <c r="L5" s="67" t="s">
        <v>66</v>
      </c>
    </row>
    <row r="6" spans="1:12" ht="12" customHeight="1" x14ac:dyDescent="0.25">
      <c r="A6" s="1">
        <v>4</v>
      </c>
      <c r="B6" t="s">
        <v>62</v>
      </c>
      <c r="D6" t="s">
        <v>45</v>
      </c>
      <c r="F6" t="s">
        <v>46</v>
      </c>
      <c r="G6" t="s">
        <v>47</v>
      </c>
      <c r="H6" t="s">
        <v>48</v>
      </c>
      <c r="I6" s="1" t="s">
        <v>49</v>
      </c>
      <c r="J6" t="s">
        <v>41</v>
      </c>
      <c r="L6" s="67" t="s">
        <v>67</v>
      </c>
    </row>
    <row r="7" spans="1:12" ht="12" customHeight="1" x14ac:dyDescent="0.25">
      <c r="A7" s="1">
        <v>5</v>
      </c>
      <c r="B7" t="s">
        <v>63</v>
      </c>
      <c r="D7" t="s">
        <v>36</v>
      </c>
      <c r="F7" t="s">
        <v>50</v>
      </c>
      <c r="G7" t="s">
        <v>51</v>
      </c>
      <c r="H7" t="s">
        <v>53</v>
      </c>
      <c r="I7" s="1" t="s">
        <v>54</v>
      </c>
      <c r="J7" t="s">
        <v>41</v>
      </c>
      <c r="L7" s="67" t="s">
        <v>68</v>
      </c>
    </row>
    <row r="8" spans="1:12" x14ac:dyDescent="0.25">
      <c r="A8" s="1"/>
      <c r="I8" s="1"/>
      <c r="L8" s="2"/>
    </row>
    <row r="9" spans="1:12" x14ac:dyDescent="0.25">
      <c r="A9" s="1"/>
      <c r="I9" s="1"/>
      <c r="L9" s="2"/>
    </row>
    <row r="10" spans="1:12" x14ac:dyDescent="0.25">
      <c r="A10" s="1"/>
      <c r="I10" s="1"/>
      <c r="L10" s="2"/>
    </row>
    <row r="11" spans="1:12" x14ac:dyDescent="0.25">
      <c r="A11" s="1"/>
      <c r="I11" s="1"/>
      <c r="L11" s="2"/>
    </row>
    <row r="12" spans="1:12" x14ac:dyDescent="0.25">
      <c r="A12" s="1"/>
      <c r="I12" s="1"/>
      <c r="L12" s="2"/>
    </row>
    <row r="13" spans="1:12" x14ac:dyDescent="0.25">
      <c r="A13" s="1"/>
      <c r="I13" s="1"/>
      <c r="L13" s="2"/>
    </row>
    <row r="14" spans="1:12" x14ac:dyDescent="0.25">
      <c r="I14" s="1"/>
      <c r="L14" s="2"/>
    </row>
    <row r="15" spans="1:12" x14ac:dyDescent="0.25">
      <c r="A15" s="1"/>
      <c r="I15" s="1"/>
      <c r="L15" s="2"/>
    </row>
    <row r="16" spans="1:12" x14ac:dyDescent="0.25">
      <c r="A16" s="1"/>
      <c r="I16" s="1"/>
      <c r="L16" s="2"/>
    </row>
    <row r="17" spans="1:12" x14ac:dyDescent="0.25">
      <c r="A17" s="1"/>
      <c r="I17" s="1"/>
      <c r="L17" s="2"/>
    </row>
    <row r="18" spans="1:12" x14ac:dyDescent="0.25">
      <c r="A18" s="1"/>
      <c r="I18" s="1"/>
      <c r="L18" s="2"/>
    </row>
    <row r="19" spans="1:12" x14ac:dyDescent="0.25">
      <c r="A19" s="1"/>
      <c r="I19" s="1"/>
      <c r="L19" s="2"/>
    </row>
    <row r="20" spans="1:12" x14ac:dyDescent="0.25">
      <c r="A20" s="1"/>
      <c r="I20" s="1"/>
      <c r="L20" s="2"/>
    </row>
    <row r="21" spans="1:12" x14ac:dyDescent="0.25">
      <c r="A21" s="1"/>
      <c r="I21" s="1"/>
      <c r="L21" s="2"/>
    </row>
    <row r="22" spans="1:12" x14ac:dyDescent="0.25">
      <c r="A22" s="1"/>
      <c r="I22" s="1"/>
      <c r="L22" s="2"/>
    </row>
    <row r="23" spans="1:12" x14ac:dyDescent="0.25">
      <c r="A23" s="1"/>
      <c r="I23" s="1"/>
      <c r="L23" s="2"/>
    </row>
    <row r="24" spans="1:12" x14ac:dyDescent="0.25">
      <c r="A24" s="1"/>
      <c r="I24" s="1"/>
      <c r="L24" s="2"/>
    </row>
    <row r="25" spans="1:12" x14ac:dyDescent="0.25">
      <c r="A25" s="1"/>
      <c r="I25" s="1"/>
      <c r="L25" s="2"/>
    </row>
    <row r="26" spans="1:12" x14ac:dyDescent="0.25">
      <c r="A26" s="1"/>
      <c r="I26" s="1"/>
      <c r="L26" s="2"/>
    </row>
    <row r="27" spans="1:12" x14ac:dyDescent="0.25">
      <c r="A27" s="1"/>
      <c r="I27" s="1"/>
      <c r="L27" s="2"/>
    </row>
    <row r="28" spans="1:12" x14ac:dyDescent="0.25">
      <c r="A28" s="1"/>
      <c r="I28" s="1"/>
      <c r="L28" s="2"/>
    </row>
    <row r="29" spans="1:12" x14ac:dyDescent="0.25">
      <c r="A29" s="1"/>
      <c r="I29" s="1"/>
      <c r="L29" s="2"/>
    </row>
    <row r="30" spans="1:12" x14ac:dyDescent="0.25">
      <c r="A30" s="1"/>
      <c r="I30" s="1"/>
      <c r="L30" s="2"/>
    </row>
    <row r="31" spans="1:12" x14ac:dyDescent="0.25">
      <c r="A31" s="1"/>
      <c r="I31" s="1"/>
      <c r="L31" s="2"/>
    </row>
    <row r="32" spans="1:12" x14ac:dyDescent="0.25">
      <c r="A32" s="1"/>
      <c r="I32" s="1"/>
      <c r="L32" s="2"/>
    </row>
    <row r="33" spans="1:12" x14ac:dyDescent="0.25">
      <c r="A33" s="1"/>
      <c r="I33" s="1"/>
      <c r="L33" s="2"/>
    </row>
    <row r="34" spans="1:12" x14ac:dyDescent="0.25">
      <c r="A34" s="1"/>
      <c r="I34" s="1"/>
      <c r="L34" s="2"/>
    </row>
    <row r="35" spans="1:12" x14ac:dyDescent="0.25">
      <c r="A35" s="1"/>
      <c r="I35" s="1"/>
      <c r="L35" s="2"/>
    </row>
    <row r="36" spans="1:12" x14ac:dyDescent="0.25">
      <c r="A36" s="1"/>
      <c r="I36" s="1"/>
      <c r="L36" s="2"/>
    </row>
    <row r="37" spans="1:12" x14ac:dyDescent="0.25">
      <c r="A37" s="1"/>
      <c r="I37" s="1"/>
      <c r="L37" s="2"/>
    </row>
    <row r="38" spans="1:12" x14ac:dyDescent="0.25">
      <c r="A38" s="1"/>
      <c r="I38" s="1"/>
      <c r="L38" s="2"/>
    </row>
    <row r="39" spans="1:12" x14ac:dyDescent="0.25">
      <c r="A39" s="1"/>
      <c r="I39" s="1"/>
      <c r="L39" s="2"/>
    </row>
    <row r="40" spans="1:12" x14ac:dyDescent="0.25">
      <c r="A40" s="1"/>
      <c r="I40" s="1"/>
      <c r="L40" s="2"/>
    </row>
    <row r="41" spans="1:12" x14ac:dyDescent="0.25">
      <c r="A41" s="1"/>
      <c r="I41" s="1"/>
      <c r="L41" s="2"/>
    </row>
    <row r="42" spans="1:12" x14ac:dyDescent="0.25">
      <c r="A42" s="1"/>
      <c r="I42" s="1"/>
      <c r="L42" s="2"/>
    </row>
    <row r="43" spans="1:12" x14ac:dyDescent="0.25">
      <c r="A43" s="1"/>
      <c r="I43" s="1"/>
      <c r="L43" s="2"/>
    </row>
    <row r="44" spans="1:12" x14ac:dyDescent="0.25">
      <c r="A44" s="1"/>
      <c r="I44" s="1"/>
      <c r="L44" s="2"/>
    </row>
    <row r="45" spans="1:12" x14ac:dyDescent="0.25">
      <c r="A45" s="1"/>
      <c r="I45" s="1"/>
      <c r="L45" s="2"/>
    </row>
    <row r="46" spans="1:12" x14ac:dyDescent="0.25">
      <c r="A46" s="1"/>
      <c r="I46" s="1"/>
      <c r="L46" s="2"/>
    </row>
    <row r="47" spans="1:12" x14ac:dyDescent="0.25">
      <c r="A47" s="1"/>
      <c r="I47" s="1"/>
      <c r="L47" s="2"/>
    </row>
    <row r="48" spans="1:12" x14ac:dyDescent="0.25">
      <c r="A48" s="1"/>
      <c r="I48" s="1"/>
      <c r="L48" s="2"/>
    </row>
    <row r="49" spans="1:12" x14ac:dyDescent="0.25">
      <c r="A49" s="1"/>
      <c r="I49" s="1"/>
      <c r="L49" s="2"/>
    </row>
    <row r="50" spans="1:12" x14ac:dyDescent="0.25">
      <c r="A50" s="1"/>
      <c r="I50" s="1"/>
      <c r="L50" s="2"/>
    </row>
    <row r="51" spans="1:12" x14ac:dyDescent="0.25">
      <c r="A51" s="1"/>
      <c r="I51" s="1"/>
      <c r="L51" s="2"/>
    </row>
    <row r="52" spans="1:12" x14ac:dyDescent="0.25">
      <c r="A52" s="1"/>
      <c r="I52" s="1"/>
      <c r="L52" s="2"/>
    </row>
    <row r="53" spans="1:12" x14ac:dyDescent="0.25">
      <c r="A53" s="1"/>
      <c r="I53" s="1"/>
      <c r="L53" s="2"/>
    </row>
    <row r="54" spans="1:12" x14ac:dyDescent="0.25">
      <c r="A54" s="1"/>
      <c r="I54" s="1"/>
      <c r="L54" s="2"/>
    </row>
    <row r="55" spans="1:12" x14ac:dyDescent="0.25">
      <c r="A55" s="1"/>
      <c r="I55" s="1"/>
      <c r="L55" s="2"/>
    </row>
    <row r="56" spans="1:12" x14ac:dyDescent="0.25">
      <c r="A56" s="1"/>
      <c r="I56" s="1"/>
      <c r="L56" s="2"/>
    </row>
    <row r="57" spans="1:12" x14ac:dyDescent="0.25">
      <c r="A57" s="1"/>
      <c r="I57" s="1"/>
      <c r="L57" s="2"/>
    </row>
    <row r="58" spans="1:12" x14ac:dyDescent="0.25">
      <c r="A58" s="1"/>
      <c r="I58" s="1"/>
      <c r="L58" s="2"/>
    </row>
    <row r="59" spans="1:12" x14ac:dyDescent="0.25">
      <c r="A59" s="1"/>
      <c r="I59" s="1"/>
      <c r="L59" s="2"/>
    </row>
    <row r="60" spans="1:12" x14ac:dyDescent="0.25">
      <c r="A60" s="1"/>
      <c r="I60" s="1"/>
      <c r="L60" s="2"/>
    </row>
    <row r="61" spans="1:12" x14ac:dyDescent="0.25">
      <c r="A61" s="1"/>
      <c r="I61" s="1"/>
      <c r="L61" s="2"/>
    </row>
    <row r="62" spans="1:12" x14ac:dyDescent="0.25">
      <c r="A62" s="1"/>
      <c r="I62" s="1"/>
      <c r="L62" s="2"/>
    </row>
    <row r="63" spans="1:12" x14ac:dyDescent="0.25">
      <c r="A63" s="1"/>
      <c r="I63" s="1"/>
      <c r="L63" s="2"/>
    </row>
    <row r="64" spans="1:12" x14ac:dyDescent="0.25">
      <c r="A64" s="1"/>
      <c r="I64" s="1"/>
      <c r="L64" s="2"/>
    </row>
    <row r="65" spans="1:12" x14ac:dyDescent="0.25">
      <c r="A65" s="1"/>
      <c r="I65" s="1"/>
      <c r="L65" s="2"/>
    </row>
    <row r="66" spans="1:12" x14ac:dyDescent="0.25">
      <c r="A66" s="1"/>
      <c r="I66" s="1"/>
      <c r="L66" s="2"/>
    </row>
    <row r="67" spans="1:12" x14ac:dyDescent="0.25">
      <c r="A67" s="1"/>
      <c r="I67" s="1"/>
      <c r="L67" s="2"/>
    </row>
    <row r="68" spans="1:12" x14ac:dyDescent="0.25">
      <c r="A68" s="1"/>
      <c r="I68" s="1"/>
      <c r="L68" s="2"/>
    </row>
    <row r="69" spans="1:12" x14ac:dyDescent="0.25">
      <c r="A69" s="1"/>
      <c r="I69" s="1"/>
      <c r="L69" s="2"/>
    </row>
    <row r="70" spans="1:12" x14ac:dyDescent="0.25">
      <c r="A70" s="1"/>
      <c r="I70" s="1"/>
      <c r="L70" s="2"/>
    </row>
    <row r="71" spans="1:12" x14ac:dyDescent="0.25">
      <c r="A71" s="1"/>
      <c r="I71" s="1"/>
      <c r="L71" s="2"/>
    </row>
    <row r="72" spans="1:12" x14ac:dyDescent="0.25">
      <c r="A72" s="1"/>
      <c r="I72" s="1"/>
      <c r="L72" s="2"/>
    </row>
    <row r="73" spans="1:12" x14ac:dyDescent="0.25">
      <c r="A73" s="1"/>
      <c r="I73" s="1"/>
      <c r="L73" s="2"/>
    </row>
    <row r="74" spans="1:12" x14ac:dyDescent="0.25">
      <c r="A74" s="1"/>
      <c r="I74" s="1"/>
      <c r="L74" s="2"/>
    </row>
    <row r="75" spans="1:12" x14ac:dyDescent="0.25">
      <c r="A75" s="1"/>
      <c r="I75" s="1"/>
      <c r="L75" s="2"/>
    </row>
    <row r="76" spans="1:12" x14ac:dyDescent="0.25">
      <c r="A76" s="1"/>
      <c r="I76" s="1"/>
      <c r="L76" s="2"/>
    </row>
    <row r="77" spans="1:12" x14ac:dyDescent="0.25">
      <c r="A77" s="1"/>
      <c r="I77" s="1"/>
      <c r="L77" s="2"/>
    </row>
    <row r="78" spans="1:12" x14ac:dyDescent="0.25">
      <c r="A78" s="1"/>
      <c r="I78" s="1"/>
      <c r="L78" s="2"/>
    </row>
    <row r="79" spans="1:12" x14ac:dyDescent="0.25">
      <c r="A79" s="1"/>
      <c r="I79" s="1"/>
      <c r="L79" s="2"/>
    </row>
    <row r="80" spans="1:12" x14ac:dyDescent="0.25">
      <c r="A80" s="1"/>
      <c r="I80" s="1"/>
      <c r="L80" s="2"/>
    </row>
    <row r="81" spans="1:12" x14ac:dyDescent="0.25">
      <c r="A81" s="1"/>
      <c r="I81" s="1"/>
      <c r="L81" s="2"/>
    </row>
    <row r="82" spans="1:12" x14ac:dyDescent="0.25">
      <c r="A82" s="1"/>
      <c r="I82" s="1"/>
      <c r="L82" s="2"/>
    </row>
    <row r="83" spans="1:12" x14ac:dyDescent="0.25">
      <c r="A83" s="1"/>
      <c r="I83" s="1"/>
      <c r="L83" s="2"/>
    </row>
    <row r="84" spans="1:12" x14ac:dyDescent="0.25">
      <c r="A84" s="1"/>
      <c r="I84" s="1"/>
      <c r="L84" s="2"/>
    </row>
    <row r="85" spans="1:12" x14ac:dyDescent="0.25">
      <c r="A85" s="1"/>
      <c r="I85" s="1"/>
      <c r="L85" s="2"/>
    </row>
    <row r="86" spans="1:12" x14ac:dyDescent="0.25">
      <c r="A86" s="1"/>
      <c r="I86" s="1"/>
      <c r="L86" s="2"/>
    </row>
    <row r="87" spans="1:12" x14ac:dyDescent="0.25">
      <c r="A87" s="1"/>
      <c r="I87" s="1"/>
      <c r="L87" s="2"/>
    </row>
    <row r="88" spans="1:12" x14ac:dyDescent="0.25">
      <c r="A88" s="1"/>
      <c r="I88" s="1"/>
      <c r="L88" s="2"/>
    </row>
    <row r="89" spans="1:12" x14ac:dyDescent="0.25">
      <c r="A89" s="1"/>
      <c r="I89" s="1"/>
      <c r="L89" s="2"/>
    </row>
    <row r="90" spans="1:12" x14ac:dyDescent="0.25">
      <c r="A90" s="1"/>
      <c r="I90" s="1"/>
      <c r="L90" s="2"/>
    </row>
    <row r="91" spans="1:12" x14ac:dyDescent="0.25">
      <c r="A91" s="1"/>
      <c r="I91" s="1"/>
      <c r="L91" s="2"/>
    </row>
    <row r="92" spans="1:12" x14ac:dyDescent="0.25">
      <c r="A92" s="1"/>
      <c r="I92" s="1"/>
      <c r="L92" s="2"/>
    </row>
    <row r="93" spans="1:12" x14ac:dyDescent="0.25">
      <c r="A93" s="1"/>
      <c r="I93" s="1"/>
      <c r="L93" s="2"/>
    </row>
    <row r="94" spans="1:12" x14ac:dyDescent="0.25">
      <c r="A94" s="1"/>
      <c r="I94" s="1"/>
      <c r="L94" s="2"/>
    </row>
    <row r="95" spans="1:12" x14ac:dyDescent="0.25">
      <c r="A95" s="1"/>
      <c r="I95" s="1"/>
      <c r="L95" s="2"/>
    </row>
    <row r="96" spans="1:12" x14ac:dyDescent="0.25">
      <c r="A96" s="1"/>
      <c r="I96" s="1"/>
      <c r="L96" s="2"/>
    </row>
    <row r="97" spans="1:12" x14ac:dyDescent="0.25">
      <c r="A97" s="1"/>
      <c r="I97" s="1"/>
      <c r="L97" s="2"/>
    </row>
    <row r="98" spans="1:12" x14ac:dyDescent="0.25">
      <c r="A98" s="1"/>
      <c r="I98" s="1"/>
      <c r="L98" s="2"/>
    </row>
    <row r="99" spans="1:12" x14ac:dyDescent="0.25">
      <c r="A99" s="1"/>
      <c r="I99" s="1"/>
      <c r="L99" s="2"/>
    </row>
    <row r="100" spans="1:12" x14ac:dyDescent="0.25">
      <c r="A100" s="1"/>
      <c r="I100" s="1"/>
      <c r="L100" s="2"/>
    </row>
    <row r="101" spans="1:12" x14ac:dyDescent="0.25">
      <c r="A101" s="1"/>
      <c r="I101" s="1"/>
      <c r="L101" s="2"/>
    </row>
    <row r="102" spans="1:12" x14ac:dyDescent="0.25">
      <c r="A102" s="3"/>
      <c r="B102" s="4"/>
      <c r="C102" s="4"/>
      <c r="D102" s="4"/>
      <c r="E102" s="4"/>
      <c r="F102" s="4"/>
      <c r="G102" s="4"/>
      <c r="H102" s="4"/>
      <c r="I102" s="3"/>
      <c r="J102" s="4"/>
      <c r="K102" s="61"/>
      <c r="L102" s="5"/>
    </row>
  </sheetData>
  <autoFilter ref="A2:L2" xr:uid="{00000000-0001-0000-0000-000000000000}"/>
  <mergeCells count="2">
    <mergeCell ref="I1:L1"/>
    <mergeCell ref="A1:H1"/>
  </mergeCells>
  <conditionalFormatting sqref="J3:K13 K14 J15:K102">
    <cfRule type="expression" dxfId="2" priority="2">
      <formula>EXACT(J3,"Pasó")</formula>
    </cfRule>
    <cfRule type="expression" dxfId="1" priority="3">
      <formula>EXACT(J3,"Falló")</formula>
    </cfRule>
    <cfRule type="expression" dxfId="0" priority="4">
      <formula>EXACT(J3,"Pendiente")</formula>
    </cfRule>
  </conditionalFormatting>
  <dataValidations count="1">
    <dataValidation type="list" allowBlank="1" showInputMessage="1" showErrorMessage="1" sqref="J15:J102 J3:J13" xr:uid="{78B787D0-A4F3-4220-95D0-5704DB0F5870}">
      <formula1>"Pasó,Falló,Pendiente"</formula1>
    </dataValidation>
  </dataValidations>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0053C-5871-4640-8061-D31C2050EB94}">
  <dimension ref="A1:B6"/>
  <sheetViews>
    <sheetView topLeftCell="A2" zoomScale="120" zoomScaleNormal="120" workbookViewId="0">
      <selection activeCell="N16" sqref="N16"/>
    </sheetView>
  </sheetViews>
  <sheetFormatPr baseColWidth="10" defaultColWidth="9.140625" defaultRowHeight="15" x14ac:dyDescent="0.25"/>
  <cols>
    <col min="1" max="1" width="15.85546875" customWidth="1"/>
    <col min="2" max="2" width="18.28515625" customWidth="1"/>
  </cols>
  <sheetData>
    <row r="1" spans="1:2" ht="18.75" x14ac:dyDescent="0.3">
      <c r="A1" s="59" t="s">
        <v>11</v>
      </c>
      <c r="B1" s="59"/>
    </row>
    <row r="3" spans="1:2" x14ac:dyDescent="0.25">
      <c r="A3" t="s">
        <v>12</v>
      </c>
      <c r="B3" s="20">
        <f>COUNTA('Casos de Prueba'!A3:A102)</f>
        <v>5</v>
      </c>
    </row>
    <row r="4" spans="1:2" x14ac:dyDescent="0.25">
      <c r="A4" t="s">
        <v>13</v>
      </c>
      <c r="B4" s="20">
        <f>COUNTIF('Casos de Prueba'!J3:J102, "Pasó")</f>
        <v>0</v>
      </c>
    </row>
    <row r="5" spans="1:2" x14ac:dyDescent="0.25">
      <c r="A5" t="s">
        <v>14</v>
      </c>
      <c r="B5" s="20">
        <f>COUNTIF('Casos de Prueba'!J3:J102, "Falló")</f>
        <v>5</v>
      </c>
    </row>
    <row r="6" spans="1:2" x14ac:dyDescent="0.25">
      <c r="A6" t="s">
        <v>15</v>
      </c>
      <c r="B6" s="20">
        <f>COUNTIF('Casos de Prueba'!J3:J102, "Pendiente")</f>
        <v>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F185-D8EA-41BC-905A-6F256CA2692B}">
  <dimension ref="A1:I6"/>
  <sheetViews>
    <sheetView topLeftCell="A3" zoomScale="70" zoomScaleNormal="70" workbookViewId="0">
      <selection activeCell="B6" sqref="B6"/>
    </sheetView>
  </sheetViews>
  <sheetFormatPr baseColWidth="10" defaultRowHeight="15" x14ac:dyDescent="0.25"/>
  <cols>
    <col min="1" max="1" width="30.42578125" bestFit="1" customWidth="1"/>
    <col min="2" max="2" width="12" customWidth="1"/>
  </cols>
  <sheetData>
    <row r="1" spans="1:9" x14ac:dyDescent="0.25">
      <c r="A1" s="83" t="s">
        <v>69</v>
      </c>
      <c r="B1" s="83" t="s">
        <v>71</v>
      </c>
      <c r="C1" s="84" t="s">
        <v>70</v>
      </c>
      <c r="D1" s="84"/>
      <c r="E1" s="84"/>
      <c r="F1" s="84"/>
      <c r="G1" s="84"/>
      <c r="H1" s="84"/>
      <c r="I1" s="84"/>
    </row>
    <row r="2" spans="1:9" ht="219" customHeight="1" x14ac:dyDescent="0.25">
      <c r="A2" s="68" t="s">
        <v>73</v>
      </c>
      <c r="B2" s="68" t="s">
        <v>72</v>
      </c>
    </row>
    <row r="4" spans="1:9" ht="228" customHeight="1" x14ac:dyDescent="0.25">
      <c r="A4" s="68" t="s">
        <v>74</v>
      </c>
      <c r="B4" s="68" t="s">
        <v>75</v>
      </c>
    </row>
    <row r="5" spans="1:9" x14ac:dyDescent="0.25">
      <c r="A5" s="68"/>
    </row>
    <row r="6" spans="1:9" ht="236.25" customHeight="1" x14ac:dyDescent="0.25">
      <c r="A6" s="68" t="s">
        <v>74</v>
      </c>
      <c r="B6" s="68" t="s">
        <v>76</v>
      </c>
    </row>
  </sheetData>
  <mergeCells count="1">
    <mergeCell ref="C1:I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Portada</vt:lpstr>
      <vt:lpstr>Casos de Prueba</vt:lpstr>
      <vt:lpstr>Dashboard</vt:lpstr>
      <vt:lpstr>Análisis de accesibilidad – Con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López</dc:creator>
  <cp:lastModifiedBy>Aldana Martellotti</cp:lastModifiedBy>
  <dcterms:created xsi:type="dcterms:W3CDTF">2025-04-24T15:58:39Z</dcterms:created>
  <dcterms:modified xsi:type="dcterms:W3CDTF">2026-03-24T14:18:51Z</dcterms:modified>
</cp:coreProperties>
</file>